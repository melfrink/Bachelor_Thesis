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ef381251651879/Documents/School/UU/Bachelor Scriptie/"/>
    </mc:Choice>
  </mc:AlternateContent>
  <xr:revisionPtr revIDLastSave="42" documentId="8_{B1C68B20-4CCB-4768-9B42-A22A5B0FE05A}" xr6:coauthVersionLast="47" xr6:coauthVersionMax="47" xr10:uidLastSave="{1EEBBBC9-0DC8-46CA-B1B4-B79DC46FE141}"/>
  <bookViews>
    <workbookView xWindow="-105" yWindow="0" windowWidth="14610" windowHeight="15585" xr2:uid="{B304B18B-7EB4-4F8D-A2A0-59851527BA1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3" i="1" l="1"/>
  <c r="F41" i="1"/>
  <c r="F40" i="1"/>
  <c r="F39" i="1"/>
  <c r="F47" i="1"/>
  <c r="F48" i="1"/>
  <c r="F46" i="1"/>
</calcChain>
</file>

<file path=xl/sharedStrings.xml><?xml version="1.0" encoding="utf-8"?>
<sst xmlns="http://schemas.openxmlformats.org/spreadsheetml/2006/main" count="194" uniqueCount="75">
  <si>
    <t>participant_id</t>
  </si>
  <si>
    <t>date</t>
  </si>
  <si>
    <t>player1_age</t>
  </si>
  <si>
    <t>player1_gender</t>
  </si>
  <si>
    <t>player1_handedness</t>
  </si>
  <si>
    <t>player1_pre_processing_channels_fixed</t>
  </si>
  <si>
    <t>player2_age</t>
  </si>
  <si>
    <t>player2_gender</t>
  </si>
  <si>
    <t>player2_handedness</t>
  </si>
  <si>
    <t>player2_pre_processing_channels_fixed</t>
  </si>
  <si>
    <t>sub-01</t>
  </si>
  <si>
    <t>F</t>
  </si>
  <si>
    <t>R</t>
  </si>
  <si>
    <t>M</t>
  </si>
  <si>
    <t>T8</t>
  </si>
  <si>
    <t>sub-02</t>
  </si>
  <si>
    <t>FC5, T7, POz, P2</t>
  </si>
  <si>
    <t>sub-03</t>
  </si>
  <si>
    <t>L</t>
  </si>
  <si>
    <t>T7, P6</t>
  </si>
  <si>
    <t>FC1</t>
  </si>
  <si>
    <t>sub-04</t>
  </si>
  <si>
    <t>T7, T8, O1</t>
  </si>
  <si>
    <t>T7, T8</t>
  </si>
  <si>
    <t>sub-05</t>
  </si>
  <si>
    <t>sub-06</t>
  </si>
  <si>
    <t>C1, T7, CP2</t>
  </si>
  <si>
    <t>AF8</t>
  </si>
  <si>
    <t>sub-07</t>
  </si>
  <si>
    <t>T7, TP7, P5, P10</t>
  </si>
  <si>
    <t>O1, F4, F8</t>
  </si>
  <si>
    <t>sub-08</t>
  </si>
  <si>
    <t>T7, TP8</t>
  </si>
  <si>
    <t>sub-09</t>
  </si>
  <si>
    <t>P1, O2</t>
  </si>
  <si>
    <t>sub-11</t>
  </si>
  <si>
    <t>AF7, FT7, FC5, P1, PO3</t>
  </si>
  <si>
    <t>P6</t>
  </si>
  <si>
    <t>sub-12</t>
  </si>
  <si>
    <t>F2, F4, PO4</t>
  </si>
  <si>
    <t>F6, FT8</t>
  </si>
  <si>
    <t>sub-13</t>
  </si>
  <si>
    <t>sub-14</t>
  </si>
  <si>
    <t>sub-15</t>
  </si>
  <si>
    <t>sub-16</t>
  </si>
  <si>
    <t>sub-17</t>
  </si>
  <si>
    <t>A</t>
  </si>
  <si>
    <t>sub-18</t>
  </si>
  <si>
    <t>POz, PO4, P2</t>
  </si>
  <si>
    <t>sub-19</t>
  </si>
  <si>
    <t>sub-20</t>
  </si>
  <si>
    <t>P4</t>
  </si>
  <si>
    <t>sub-21</t>
  </si>
  <si>
    <t>sub-22</t>
  </si>
  <si>
    <t>sub-25</t>
  </si>
  <si>
    <t>sub-26</t>
  </si>
  <si>
    <t>sub-27</t>
  </si>
  <si>
    <t>sub-28</t>
  </si>
  <si>
    <t>sub-29</t>
  </si>
  <si>
    <t>CP1, PO3</t>
  </si>
  <si>
    <t>sub-30</t>
  </si>
  <si>
    <t>sub-31</t>
  </si>
  <si>
    <t>NB</t>
  </si>
  <si>
    <t>POz, FC4, P10</t>
  </si>
  <si>
    <t>sub-32</t>
  </si>
  <si>
    <t>sub-33</t>
  </si>
  <si>
    <t>sub-34</t>
  </si>
  <si>
    <t>TP7</t>
  </si>
  <si>
    <t>Recht</t>
  </si>
  <si>
    <t>Links</t>
  </si>
  <si>
    <t>Female</t>
  </si>
  <si>
    <t>Male</t>
  </si>
  <si>
    <t>Non-binary</t>
  </si>
  <si>
    <t>Ambidextrous</t>
  </si>
  <si>
    <t>Right handed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</si>
</sst>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FE8C-0BAD-4947-91F9-E316CD06E488}">
  <dimension ref="B5:O48"/>
  <sheetViews>
    <sheetView tabSelected="1" topLeftCell="A13" workbookViewId="0">
      <selection activeCell="E44" sqref="E44"/>
    </sheetView>
  </sheetViews>
  <sheetFormatPr defaultRowHeight="15" x14ac:dyDescent="0.25"/>
  <cols>
    <col min="3" max="3" width="16" customWidth="1"/>
    <col min="4" max="4" width="14.28515625" customWidth="1"/>
    <col min="5" max="5" width="16.85546875" customWidth="1"/>
    <col min="6" max="6" width="20.7109375" customWidth="1"/>
    <col min="7" max="7" width="14.7109375" customWidth="1"/>
    <col min="8" max="8" width="14.42578125" customWidth="1"/>
    <col min="9" max="9" width="18.140625" customWidth="1"/>
    <col min="10" max="10" width="25.140625" customWidth="1"/>
    <col min="11" max="11" width="22.140625" customWidth="1"/>
  </cols>
  <sheetData>
    <row r="5" spans="2:15" x14ac:dyDescent="0.25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O5" s="2"/>
    </row>
    <row r="6" spans="2:15" x14ac:dyDescent="0.25">
      <c r="B6" t="s">
        <v>10</v>
      </c>
      <c r="C6" s="1">
        <v>44509</v>
      </c>
      <c r="D6">
        <v>25</v>
      </c>
      <c r="E6" t="s">
        <v>11</v>
      </c>
      <c r="F6" t="s">
        <v>12</v>
      </c>
      <c r="H6">
        <v>35</v>
      </c>
      <c r="I6" t="s">
        <v>13</v>
      </c>
      <c r="J6" t="s">
        <v>12</v>
      </c>
      <c r="K6" t="s">
        <v>14</v>
      </c>
    </row>
    <row r="7" spans="2:15" x14ac:dyDescent="0.25">
      <c r="B7" t="s">
        <v>15</v>
      </c>
      <c r="C7" s="1">
        <v>44516</v>
      </c>
      <c r="D7">
        <v>22</v>
      </c>
      <c r="E7" t="s">
        <v>11</v>
      </c>
      <c r="F7" t="s">
        <v>12</v>
      </c>
      <c r="G7" t="s">
        <v>16</v>
      </c>
      <c r="H7">
        <v>27</v>
      </c>
      <c r="I7" t="s">
        <v>11</v>
      </c>
      <c r="J7" t="s">
        <v>12</v>
      </c>
    </row>
    <row r="8" spans="2:15" x14ac:dyDescent="0.25">
      <c r="B8" t="s">
        <v>17</v>
      </c>
      <c r="C8" s="1">
        <v>44523</v>
      </c>
      <c r="D8">
        <v>26</v>
      </c>
      <c r="E8" t="s">
        <v>11</v>
      </c>
      <c r="F8" t="s">
        <v>18</v>
      </c>
      <c r="G8" t="s">
        <v>19</v>
      </c>
      <c r="H8">
        <v>30</v>
      </c>
      <c r="I8" t="s">
        <v>11</v>
      </c>
      <c r="J8" t="s">
        <v>12</v>
      </c>
      <c r="K8" t="s">
        <v>20</v>
      </c>
    </row>
    <row r="9" spans="2:15" x14ac:dyDescent="0.25">
      <c r="B9" t="s">
        <v>21</v>
      </c>
      <c r="C9" s="1">
        <v>44523</v>
      </c>
      <c r="D9">
        <v>32</v>
      </c>
      <c r="E9" t="s">
        <v>13</v>
      </c>
      <c r="F9" t="s">
        <v>12</v>
      </c>
      <c r="G9" t="s">
        <v>22</v>
      </c>
      <c r="H9">
        <v>27</v>
      </c>
      <c r="I9" t="s">
        <v>13</v>
      </c>
      <c r="J9" t="s">
        <v>12</v>
      </c>
      <c r="K9" t="s">
        <v>23</v>
      </c>
    </row>
    <row r="10" spans="2:15" x14ac:dyDescent="0.25">
      <c r="B10" t="s">
        <v>24</v>
      </c>
      <c r="C10" s="1">
        <v>44524</v>
      </c>
      <c r="D10">
        <v>26</v>
      </c>
      <c r="E10" t="s">
        <v>11</v>
      </c>
      <c r="F10" t="s">
        <v>12</v>
      </c>
      <c r="H10">
        <v>24</v>
      </c>
      <c r="I10" t="s">
        <v>13</v>
      </c>
      <c r="J10" t="s">
        <v>12</v>
      </c>
      <c r="K10" t="s">
        <v>23</v>
      </c>
    </row>
    <row r="11" spans="2:15" x14ac:dyDescent="0.25">
      <c r="B11" t="s">
        <v>25</v>
      </c>
      <c r="C11" s="1">
        <v>44531</v>
      </c>
      <c r="D11">
        <v>20</v>
      </c>
      <c r="E11" t="s">
        <v>11</v>
      </c>
      <c r="F11" t="s">
        <v>12</v>
      </c>
      <c r="G11" t="s">
        <v>26</v>
      </c>
      <c r="H11">
        <v>18</v>
      </c>
      <c r="I11" t="s">
        <v>11</v>
      </c>
      <c r="J11" t="s">
        <v>12</v>
      </c>
      <c r="K11" t="s">
        <v>27</v>
      </c>
    </row>
    <row r="12" spans="2:15" x14ac:dyDescent="0.25">
      <c r="B12" t="s">
        <v>28</v>
      </c>
      <c r="C12" s="1">
        <v>44537</v>
      </c>
      <c r="D12">
        <v>18</v>
      </c>
      <c r="E12" t="s">
        <v>13</v>
      </c>
      <c r="F12" t="s">
        <v>12</v>
      </c>
      <c r="G12" t="s">
        <v>29</v>
      </c>
      <c r="H12">
        <v>18</v>
      </c>
      <c r="I12" t="s">
        <v>11</v>
      </c>
      <c r="J12" t="s">
        <v>12</v>
      </c>
      <c r="K12" t="s">
        <v>30</v>
      </c>
    </row>
    <row r="13" spans="2:15" x14ac:dyDescent="0.25">
      <c r="B13" t="s">
        <v>31</v>
      </c>
      <c r="C13" s="1">
        <v>44537</v>
      </c>
      <c r="D13">
        <v>42</v>
      </c>
      <c r="E13" t="s">
        <v>11</v>
      </c>
      <c r="F13" t="s">
        <v>12</v>
      </c>
      <c r="G13" t="s">
        <v>32</v>
      </c>
      <c r="H13">
        <v>29</v>
      </c>
      <c r="I13" t="s">
        <v>11</v>
      </c>
      <c r="J13" t="s">
        <v>12</v>
      </c>
    </row>
    <row r="14" spans="2:15" x14ac:dyDescent="0.25">
      <c r="B14" t="s">
        <v>33</v>
      </c>
      <c r="C14" s="1">
        <v>44544</v>
      </c>
      <c r="D14">
        <v>25</v>
      </c>
      <c r="E14" t="s">
        <v>11</v>
      </c>
      <c r="F14" t="s">
        <v>12</v>
      </c>
      <c r="H14">
        <v>34</v>
      </c>
      <c r="I14" t="s">
        <v>11</v>
      </c>
      <c r="J14" t="s">
        <v>12</v>
      </c>
      <c r="K14" t="s">
        <v>34</v>
      </c>
    </row>
    <row r="15" spans="2:15" x14ac:dyDescent="0.25">
      <c r="B15" t="s">
        <v>35</v>
      </c>
      <c r="C15" s="1">
        <v>44545</v>
      </c>
      <c r="D15">
        <v>21</v>
      </c>
      <c r="E15" t="s">
        <v>11</v>
      </c>
      <c r="F15" t="s">
        <v>12</v>
      </c>
      <c r="G15" t="s">
        <v>36</v>
      </c>
      <c r="H15">
        <v>22</v>
      </c>
      <c r="I15" t="s">
        <v>11</v>
      </c>
      <c r="J15" t="s">
        <v>12</v>
      </c>
      <c r="K15" t="s">
        <v>37</v>
      </c>
    </row>
    <row r="16" spans="2:15" x14ac:dyDescent="0.25">
      <c r="B16" t="s">
        <v>38</v>
      </c>
      <c r="C16" s="1">
        <v>44545</v>
      </c>
      <c r="D16">
        <v>21</v>
      </c>
      <c r="E16" t="s">
        <v>13</v>
      </c>
      <c r="F16" t="s">
        <v>12</v>
      </c>
      <c r="G16" t="s">
        <v>39</v>
      </c>
      <c r="H16">
        <v>21</v>
      </c>
      <c r="I16" t="s">
        <v>11</v>
      </c>
      <c r="J16" t="s">
        <v>12</v>
      </c>
      <c r="K16" t="s">
        <v>40</v>
      </c>
    </row>
    <row r="17" spans="2:11" x14ac:dyDescent="0.25">
      <c r="B17" t="s">
        <v>41</v>
      </c>
      <c r="C17" s="1">
        <v>44719</v>
      </c>
      <c r="D17">
        <v>36</v>
      </c>
      <c r="E17" t="s">
        <v>11</v>
      </c>
      <c r="F17" t="s">
        <v>12</v>
      </c>
      <c r="H17">
        <v>37</v>
      </c>
      <c r="I17" t="s">
        <v>13</v>
      </c>
      <c r="J17" t="s">
        <v>12</v>
      </c>
    </row>
    <row r="18" spans="2:11" x14ac:dyDescent="0.25">
      <c r="B18" t="s">
        <v>42</v>
      </c>
      <c r="C18" s="1">
        <v>44729</v>
      </c>
      <c r="D18">
        <v>30</v>
      </c>
      <c r="E18" t="s">
        <v>13</v>
      </c>
      <c r="F18" t="s">
        <v>12</v>
      </c>
      <c r="H18">
        <v>39</v>
      </c>
      <c r="I18" t="s">
        <v>13</v>
      </c>
      <c r="J18" t="s">
        <v>12</v>
      </c>
    </row>
    <row r="19" spans="2:11" x14ac:dyDescent="0.25">
      <c r="B19" t="s">
        <v>43</v>
      </c>
      <c r="C19" s="1">
        <v>44738</v>
      </c>
      <c r="D19">
        <v>23</v>
      </c>
      <c r="E19" t="s">
        <v>11</v>
      </c>
      <c r="F19" t="s">
        <v>18</v>
      </c>
      <c r="H19">
        <v>24</v>
      </c>
      <c r="I19" t="s">
        <v>13</v>
      </c>
      <c r="J19" t="s">
        <v>12</v>
      </c>
    </row>
    <row r="20" spans="2:11" x14ac:dyDescent="0.25">
      <c r="B20" t="s">
        <v>44</v>
      </c>
      <c r="C20" s="1">
        <v>44742</v>
      </c>
      <c r="D20">
        <v>38</v>
      </c>
      <c r="E20" t="s">
        <v>11</v>
      </c>
      <c r="F20" t="s">
        <v>12</v>
      </c>
      <c r="H20">
        <v>23</v>
      </c>
      <c r="I20" t="s">
        <v>11</v>
      </c>
      <c r="J20" t="s">
        <v>12</v>
      </c>
    </row>
    <row r="21" spans="2:11" x14ac:dyDescent="0.25">
      <c r="B21" t="s">
        <v>45</v>
      </c>
      <c r="C21" s="1">
        <v>44743</v>
      </c>
      <c r="D21">
        <v>34</v>
      </c>
      <c r="E21" t="s">
        <v>13</v>
      </c>
      <c r="F21" t="s">
        <v>18</v>
      </c>
      <c r="H21">
        <v>47</v>
      </c>
      <c r="I21" t="s">
        <v>13</v>
      </c>
      <c r="J21" t="s">
        <v>46</v>
      </c>
    </row>
    <row r="22" spans="2:11" x14ac:dyDescent="0.25">
      <c r="B22" t="s">
        <v>47</v>
      </c>
      <c r="C22" s="1">
        <v>44746</v>
      </c>
      <c r="D22">
        <v>23</v>
      </c>
      <c r="E22" t="s">
        <v>13</v>
      </c>
      <c r="F22" t="s">
        <v>12</v>
      </c>
      <c r="H22">
        <v>24</v>
      </c>
      <c r="I22" t="s">
        <v>13</v>
      </c>
      <c r="J22" t="s">
        <v>12</v>
      </c>
      <c r="K22" t="s">
        <v>48</v>
      </c>
    </row>
    <row r="23" spans="2:11" x14ac:dyDescent="0.25">
      <c r="B23" t="s">
        <v>49</v>
      </c>
      <c r="C23" s="1">
        <v>44748</v>
      </c>
      <c r="D23">
        <v>33</v>
      </c>
      <c r="E23" t="s">
        <v>11</v>
      </c>
      <c r="F23" t="s">
        <v>12</v>
      </c>
      <c r="H23">
        <v>29</v>
      </c>
      <c r="I23" t="s">
        <v>11</v>
      </c>
      <c r="J23" t="s">
        <v>12</v>
      </c>
    </row>
    <row r="24" spans="2:11" x14ac:dyDescent="0.25">
      <c r="B24" t="s">
        <v>50</v>
      </c>
      <c r="C24" s="1">
        <v>44754</v>
      </c>
      <c r="D24">
        <v>33</v>
      </c>
      <c r="E24" t="s">
        <v>11</v>
      </c>
      <c r="F24" t="s">
        <v>12</v>
      </c>
      <c r="H24">
        <v>47</v>
      </c>
      <c r="I24" t="s">
        <v>13</v>
      </c>
      <c r="J24" t="s">
        <v>12</v>
      </c>
      <c r="K24" t="s">
        <v>51</v>
      </c>
    </row>
    <row r="25" spans="2:11" x14ac:dyDescent="0.25">
      <c r="B25" t="s">
        <v>52</v>
      </c>
      <c r="C25" s="1">
        <v>44830</v>
      </c>
      <c r="D25">
        <v>22</v>
      </c>
      <c r="E25" t="s">
        <v>11</v>
      </c>
      <c r="F25" t="s">
        <v>12</v>
      </c>
      <c r="H25">
        <v>24</v>
      </c>
      <c r="I25" t="s">
        <v>11</v>
      </c>
      <c r="J25" t="s">
        <v>12</v>
      </c>
    </row>
    <row r="26" spans="2:11" x14ac:dyDescent="0.25">
      <c r="B26" t="s">
        <v>53</v>
      </c>
      <c r="C26" s="1">
        <v>44849</v>
      </c>
      <c r="D26">
        <v>34</v>
      </c>
      <c r="E26" t="s">
        <v>11</v>
      </c>
      <c r="F26" t="s">
        <v>12</v>
      </c>
      <c r="H26">
        <v>23</v>
      </c>
      <c r="I26" t="s">
        <v>11</v>
      </c>
      <c r="J26" t="s">
        <v>18</v>
      </c>
    </row>
    <row r="27" spans="2:11" x14ac:dyDescent="0.25">
      <c r="B27" t="s">
        <v>54</v>
      </c>
      <c r="C27" s="1">
        <v>44882</v>
      </c>
      <c r="D27">
        <v>32</v>
      </c>
      <c r="E27" t="s">
        <v>13</v>
      </c>
      <c r="F27" t="s">
        <v>12</v>
      </c>
      <c r="H27">
        <v>32</v>
      </c>
      <c r="I27" t="s">
        <v>13</v>
      </c>
      <c r="J27" t="s">
        <v>12</v>
      </c>
    </row>
    <row r="28" spans="2:11" x14ac:dyDescent="0.25">
      <c r="B28" t="s">
        <v>55</v>
      </c>
      <c r="C28" s="1">
        <v>44889</v>
      </c>
      <c r="D28">
        <v>30</v>
      </c>
      <c r="E28" t="s">
        <v>13</v>
      </c>
      <c r="F28" t="s">
        <v>12</v>
      </c>
      <c r="H28">
        <v>21</v>
      </c>
      <c r="I28" t="s">
        <v>13</v>
      </c>
      <c r="J28" t="s">
        <v>12</v>
      </c>
    </row>
    <row r="29" spans="2:11" x14ac:dyDescent="0.25">
      <c r="B29" t="s">
        <v>56</v>
      </c>
      <c r="C29" s="1">
        <v>44889</v>
      </c>
      <c r="D29">
        <v>31</v>
      </c>
      <c r="E29" t="s">
        <v>11</v>
      </c>
      <c r="F29" t="s">
        <v>12</v>
      </c>
      <c r="H29">
        <v>30</v>
      </c>
      <c r="I29" t="s">
        <v>11</v>
      </c>
      <c r="J29" t="s">
        <v>12</v>
      </c>
    </row>
    <row r="30" spans="2:11" x14ac:dyDescent="0.25">
      <c r="B30" t="s">
        <v>57</v>
      </c>
      <c r="C30" s="1">
        <v>44950</v>
      </c>
      <c r="D30">
        <v>25</v>
      </c>
      <c r="E30" t="s">
        <v>13</v>
      </c>
      <c r="F30" t="s">
        <v>12</v>
      </c>
      <c r="H30">
        <v>21</v>
      </c>
      <c r="I30" t="s">
        <v>11</v>
      </c>
      <c r="J30" t="s">
        <v>12</v>
      </c>
    </row>
    <row r="31" spans="2:11" x14ac:dyDescent="0.25">
      <c r="B31" t="s">
        <v>58</v>
      </c>
      <c r="C31" s="1">
        <v>44945</v>
      </c>
      <c r="D31">
        <v>18</v>
      </c>
      <c r="E31" t="s">
        <v>11</v>
      </c>
      <c r="F31" t="s">
        <v>12</v>
      </c>
      <c r="G31" t="s">
        <v>59</v>
      </c>
      <c r="H31">
        <v>23</v>
      </c>
      <c r="I31" t="s">
        <v>13</v>
      </c>
      <c r="J31" t="s">
        <v>12</v>
      </c>
    </row>
    <row r="32" spans="2:11" x14ac:dyDescent="0.25">
      <c r="B32" t="s">
        <v>60</v>
      </c>
      <c r="C32" s="1">
        <v>44945</v>
      </c>
      <c r="D32">
        <v>33</v>
      </c>
      <c r="E32" t="s">
        <v>11</v>
      </c>
      <c r="F32" t="s">
        <v>18</v>
      </c>
      <c r="H32">
        <v>29</v>
      </c>
      <c r="I32" t="s">
        <v>11</v>
      </c>
      <c r="J32" t="s">
        <v>12</v>
      </c>
    </row>
    <row r="33" spans="2:10" x14ac:dyDescent="0.25">
      <c r="B33" t="s">
        <v>61</v>
      </c>
      <c r="C33" s="1">
        <v>44953</v>
      </c>
      <c r="D33">
        <v>24</v>
      </c>
      <c r="E33" t="s">
        <v>62</v>
      </c>
      <c r="F33" t="s">
        <v>12</v>
      </c>
      <c r="G33" t="s">
        <v>63</v>
      </c>
      <c r="H33">
        <v>23</v>
      </c>
      <c r="I33" t="s">
        <v>11</v>
      </c>
      <c r="J33" t="s">
        <v>12</v>
      </c>
    </row>
    <row r="34" spans="2:10" x14ac:dyDescent="0.25">
      <c r="B34" t="s">
        <v>64</v>
      </c>
      <c r="C34" s="1">
        <v>44953</v>
      </c>
      <c r="D34">
        <v>30</v>
      </c>
      <c r="E34" t="s">
        <v>13</v>
      </c>
      <c r="F34" t="s">
        <v>18</v>
      </c>
      <c r="H34">
        <v>32</v>
      </c>
      <c r="I34" t="s">
        <v>11</v>
      </c>
      <c r="J34" t="s">
        <v>12</v>
      </c>
    </row>
    <row r="35" spans="2:10" x14ac:dyDescent="0.25">
      <c r="B35" t="s">
        <v>65</v>
      </c>
      <c r="C35" s="1">
        <v>44981</v>
      </c>
      <c r="D35">
        <v>24</v>
      </c>
      <c r="E35" t="s">
        <v>11</v>
      </c>
      <c r="F35" t="s">
        <v>12</v>
      </c>
      <c r="H35">
        <v>22</v>
      </c>
      <c r="I35" t="s">
        <v>11</v>
      </c>
      <c r="J35" t="s">
        <v>12</v>
      </c>
    </row>
    <row r="36" spans="2:10" x14ac:dyDescent="0.25">
      <c r="B36" t="s">
        <v>66</v>
      </c>
      <c r="C36" s="1">
        <v>45016</v>
      </c>
      <c r="D36">
        <v>32</v>
      </c>
      <c r="E36" t="s">
        <v>11</v>
      </c>
      <c r="F36" t="s">
        <v>12</v>
      </c>
      <c r="G36" t="s">
        <v>67</v>
      </c>
      <c r="H36">
        <v>29</v>
      </c>
      <c r="I36" t="s">
        <v>62</v>
      </c>
      <c r="J36" t="s">
        <v>12</v>
      </c>
    </row>
    <row r="39" spans="2:10" x14ac:dyDescent="0.25">
      <c r="E39" s="2" t="s">
        <v>68</v>
      </c>
      <c r="F39">
        <f>COUNTIF(F6:F36, "R") + COUNTIF(J6:J36, "R")</f>
        <v>55</v>
      </c>
    </row>
    <row r="40" spans="2:10" x14ac:dyDescent="0.25">
      <c r="E40" s="2" t="s">
        <v>69</v>
      </c>
      <c r="F40">
        <f>COUNTIF(F6:F36, "L") + COUNTIF(J6:J36, "L")</f>
        <v>6</v>
      </c>
    </row>
    <row r="41" spans="2:10" x14ac:dyDescent="0.25">
      <c r="E41" s="2" t="s">
        <v>73</v>
      </c>
      <c r="F41">
        <f>COUNTIF(F6:F36, "A") + COUNTIF(J6:J36, "A")</f>
        <v>1</v>
      </c>
    </row>
    <row r="43" spans="2:10" x14ac:dyDescent="0.25">
      <c r="E43" s="2" t="s">
        <v>74</v>
      </c>
      <c r="F43">
        <f>ROUND((F39)/(SUM(F39:F41)),3)</f>
        <v>0.88700000000000001</v>
      </c>
    </row>
    <row r="46" spans="2:10" x14ac:dyDescent="0.25">
      <c r="E46" s="2" t="s">
        <v>70</v>
      </c>
      <c r="F46">
        <f>COUNTIF(E6:E36, "F") + COUNTIF(I6:I36, "F")</f>
        <v>38</v>
      </c>
    </row>
    <row r="47" spans="2:10" x14ac:dyDescent="0.25">
      <c r="E47" s="2" t="s">
        <v>71</v>
      </c>
      <c r="F47">
        <f>COUNTIF(E6:E36, "M") + COUNTIF(I6:I36, "M")</f>
        <v>22</v>
      </c>
    </row>
    <row r="48" spans="2:10" x14ac:dyDescent="0.25">
      <c r="E48" s="2" t="s">
        <v>72</v>
      </c>
      <c r="F48">
        <f>COUNTIF(E6:E36, "NB") + COUNTIF(I6:I36, "NB")</f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Mathies Elfrink</dc:creator>
  <cp:lastModifiedBy>Mathies Elfrink</cp:lastModifiedBy>
  <dcterms:created xsi:type="dcterms:W3CDTF">2026-06-25T12:53:34Z</dcterms:created>
  <dcterms:modified xsi:type="dcterms:W3CDTF">2026-06-26T20:22:51Z</dcterms:modified>
</cp:coreProperties>
</file>